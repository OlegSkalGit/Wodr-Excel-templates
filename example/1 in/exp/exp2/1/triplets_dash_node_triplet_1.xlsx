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NODE-EUROPE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Arial"/>
      <b val="1"/>
      <color rgb="00333F48"/>
      <sz val="15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FCE4D6"/>
        <bgColor rgb="00FCE4D6"/>
      </patternFill>
    </fill>
    <fill>
      <patternFill patternType="solid">
        <fgColor rgb="00E9ECF0"/>
        <bgColor rgb="00E9EC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3" fontId="4" fillId="3" borderId="1" applyAlignment="1" pivotButton="0" quotePrefix="0" xfId="0">
      <alignment horizontal="right"/>
    </xf>
    <xf numFmtId="0" fontId="2" fillId="4" borderId="1" pivotButton="0" quotePrefix="0" xfId="0"/>
    <xf numFmtId="3" fontId="2" fillId="4" borderId="1" applyAlignment="1" pivotButton="0" quotePrefix="0" xfId="0">
      <alignment horizontal="right"/>
    </xf>
    <xf numFmtId="164" fontId="2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Профіль споживання ресурсів CPU (МГц)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'Статистика NODE-EUROPE-01'!B6</f>
            </strRef>
          </tx>
          <spPr>
            <a:ln xmlns:a="http://schemas.openxmlformats.org/drawingml/2006/main">
              <a:prstDash val="solid"/>
            </a:ln>
          </spPr>
          <cat>
            <numRef>
              <f>'Статистика NODE-EUROPE-01'!$A$7:$A$12</f>
            </numRef>
          </cat>
          <val>
            <numRef>
              <f>'Статистика NODE-EUROPE-01'!$B$7:$B$12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Часові інтервали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МГц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1" workbookViewId="0">
      <selection activeCell="A1" sqref="A1"/>
    </sheetView>
  </sheetViews>
  <sheetFormatPr baseColWidth="8" defaultRowHeight="15"/>
  <cols>
    <col width="62" customWidth="1" min="1" max="1"/>
    <col width="24" customWidth="1" min="2" max="2"/>
    <col width="25" customWidth="1" min="3" max="3"/>
    <col width="20" customWidth="1" min="4" max="4"/>
    <col width="36" customWidth="1" min="5" max="5"/>
  </cols>
  <sheetData>
    <row r="1">
      <c r="A1" s="1" t="inlineStr">
        <is>
          <t>ПАНЕЛЬ МОНІТОРИНГУ РЕСУРСІВ КЛАСТЕРА: ВУЗОЛ NODE-EUROPE-01</t>
        </is>
      </c>
    </row>
    <row r="2"/>
    <row r="3">
      <c r="A3" s="2" t="inlineStr">
        <is>
          <t>Коефіцієнт навантаження:</t>
        </is>
      </c>
      <c r="B3" s="3" t="n">
        <v>1</v>
      </c>
    </row>
    <row r="4">
      <c r="A4" s="2" t="inlineStr">
        <is>
          <t>Вартість утилізації ядра ($/год):</t>
        </is>
      </c>
      <c r="B4" s="4" t="n">
        <v>4.5</v>
      </c>
    </row>
    <row r="5"/>
    <row r="6" ht="24" customHeight="1">
      <c r="A6" s="5" t="inlineStr">
        <is>
          <t>Година моніторингу</t>
        </is>
      </c>
      <c r="B6" s="5" t="inlineStr">
        <is>
          <t>Споживання CPU (МГц)</t>
        </is>
      </c>
      <c r="C6" s="5" t="inlineStr">
        <is>
          <t>Виділено пам'яті (Гб)</t>
        </is>
      </c>
      <c r="D6" s="5" t="inlineStr">
        <is>
          <t>Потоки (Threads)</t>
        </is>
      </c>
      <c r="E6" s="5" t="inlineStr">
        <is>
          <t>Розрахункова вартість утилізації</t>
        </is>
      </c>
    </row>
    <row r="7" ht="20" customHeight="1">
      <c r="A7" s="6" t="inlineStr">
        <is>
          <t>00:00 - 04:00</t>
        </is>
      </c>
      <c r="B7" s="7">
        <f>2400*$B$3</f>
        <v/>
      </c>
      <c r="C7" s="7">
        <f>16*$B$3</f>
        <v/>
      </c>
      <c r="D7" s="7" t="n">
        <v>120</v>
      </c>
      <c r="E7" s="8">
        <f>(B7/1000)*$B$4</f>
        <v/>
      </c>
    </row>
    <row r="8" ht="20" customHeight="1">
      <c r="A8" s="6" t="inlineStr">
        <is>
          <t>04:00 - 08:00</t>
        </is>
      </c>
      <c r="B8" s="7">
        <f>4800*$B$3</f>
        <v/>
      </c>
      <c r="C8" s="7">
        <f>32*$B$3</f>
        <v/>
      </c>
      <c r="D8" s="7" t="n">
        <v>180</v>
      </c>
      <c r="E8" s="8">
        <f>(B8/1000)*$B$4</f>
        <v/>
      </c>
    </row>
    <row r="9" ht="20" customHeight="1">
      <c r="A9" s="6" t="inlineStr">
        <is>
          <t>08:00 - 12:00</t>
        </is>
      </c>
      <c r="B9" s="9">
        <f>9600*$B$3</f>
        <v/>
      </c>
      <c r="C9" s="7">
        <f>64*$B$3</f>
        <v/>
      </c>
      <c r="D9" s="7" t="n">
        <v>450</v>
      </c>
      <c r="E9" s="8">
        <f>(B9/1000)*$B$4</f>
        <v/>
      </c>
    </row>
    <row r="10" ht="20" customHeight="1">
      <c r="A10" s="6" t="inlineStr">
        <is>
          <t>12:00 - 16:00</t>
        </is>
      </c>
      <c r="B10" s="9">
        <f>14000*$B$3</f>
        <v/>
      </c>
      <c r="C10" s="7">
        <f>96*$B$3</f>
        <v/>
      </c>
      <c r="D10" s="7" t="n">
        <v>820</v>
      </c>
      <c r="E10" s="8">
        <f>(B10/1000)*$B$4</f>
        <v/>
      </c>
    </row>
    <row r="11" ht="20" customHeight="1">
      <c r="A11" s="6" t="inlineStr">
        <is>
          <t>16:00 - 20:00</t>
        </is>
      </c>
      <c r="B11" s="9">
        <f>11500*$B$3</f>
        <v/>
      </c>
      <c r="C11" s="7">
        <f>80*$B$3</f>
        <v/>
      </c>
      <c r="D11" s="7" t="n">
        <v>600</v>
      </c>
      <c r="E11" s="8">
        <f>(B11/1000)*$B$4</f>
        <v/>
      </c>
    </row>
    <row r="12" ht="20" customHeight="1">
      <c r="A12" s="6" t="inlineStr">
        <is>
          <t>20:00 - 24:00</t>
        </is>
      </c>
      <c r="B12" s="7">
        <f>6000*$B$3</f>
        <v/>
      </c>
      <c r="C12" s="7">
        <f>48*$B$3</f>
        <v/>
      </c>
      <c r="D12" s="7" t="n">
        <v>240</v>
      </c>
      <c r="E12" s="8">
        <f>(B12/1000)*$B$4</f>
        <v/>
      </c>
    </row>
    <row r="13">
      <c r="A13" s="10" t="inlineStr">
        <is>
          <t>СЕРЕДНЄ / РАЗОМ</t>
        </is>
      </c>
      <c r="B13" s="11">
        <f>AVERAGE(B7:B12)</f>
        <v/>
      </c>
      <c r="C13" s="11">
        <f>MAX(C7:C12)</f>
        <v/>
      </c>
      <c r="D13" s="11">
        <f>MAX(D7:D12)</f>
        <v/>
      </c>
      <c r="E13" s="12">
        <f>SUM(E7:E12)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2026-06-02T13:07:06Z</dcterms:created>
  <dcterms:modified xmlns:dcterms="http://purl.org/dc/terms/" xmlns:xsi="http://www.w3.org/2001/XMLSchema-instance" xsi:type="dcterms:W3CDTF">2026-06-02T13:07:06Z</dcterms:modified>
</cp:coreProperties>
</file>