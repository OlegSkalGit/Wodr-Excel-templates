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 Вузл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344955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6572"/>
        <bgColor rgb="004A6572"/>
      </patternFill>
    </fill>
    <fill>
      <patternFill patternType="solid">
        <fgColor rgb="00FFEAEA"/>
        <bgColor rgb="00FFEAEA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Інтенсивність потоку даних за рівнями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'Метрики Вузла'!B6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'Метрики Вузла'!$A$7:$A$12</f>
            </numRef>
          </cat>
          <val>
            <numRef>
              <f>'Метрики Вузла'!$B$7:$B$12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Рівні навантаження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Одиниці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5" customWidth="1" min="3" max="3"/>
    <col width="17" customWidth="1" min="4" max="4"/>
    <col width="28" customWidth="1" min="5" max="5"/>
  </cols>
  <sheetData>
    <row r="1">
      <c r="A1" s="1" t="inlineStr">
        <is>
          <t>ПРОФІЛЬ НАВАНТАЖЕННЯ ІНФРАСТРУКТУРИ: КЛАС CLUSTER-ALPHA-01</t>
        </is>
      </c>
    </row>
    <row r="2"/>
    <row r="3">
      <c r="A3" s="2" t="inlineStr">
        <is>
          <t>Множник пропускної здатності:</t>
        </is>
      </c>
      <c r="B3" s="3" t="n">
        <v>1</v>
      </c>
    </row>
    <row r="4">
      <c r="A4" s="2" t="inlineStr">
        <is>
          <t>Вартість лінійного логування ($/од):</t>
        </is>
      </c>
      <c r="B4" s="4" t="n">
        <v>1.25</v>
      </c>
    </row>
    <row r="5"/>
    <row r="6" ht="24" customHeight="1">
      <c r="A6" s="5" t="inlineStr">
        <is>
          <t>Інтервал</t>
        </is>
      </c>
      <c r="B6" s="5" t="inlineStr">
        <is>
          <t>Інтенсивність потоку</t>
        </is>
      </c>
      <c r="C6" s="5" t="inlineStr">
        <is>
          <t>Використання RAM (Гб)</t>
        </is>
      </c>
      <c r="D6" s="5" t="inlineStr">
        <is>
          <t>Активні сесії</t>
        </is>
      </c>
      <c r="E6" s="5" t="inlineStr">
        <is>
          <t>Пряма калькуляція витрат</t>
        </is>
      </c>
    </row>
    <row r="7" ht="20" customHeight="1">
      <c r="A7" s="6" t="inlineStr">
        <is>
          <t>Рівень 1</t>
        </is>
      </c>
      <c r="B7" s="7">
        <f>1500*$B$3</f>
        <v/>
      </c>
      <c r="C7" s="7">
        <f>8*$B$3</f>
        <v/>
      </c>
      <c r="D7" s="7" t="n">
        <v>50</v>
      </c>
      <c r="E7" s="8">
        <f>(B7/500)*$B$4</f>
        <v/>
      </c>
    </row>
    <row r="8" ht="20" customHeight="1">
      <c r="A8" s="6" t="inlineStr">
        <is>
          <t>Рівень 2</t>
        </is>
      </c>
      <c r="B8" s="7">
        <f>3200*$B$3</f>
        <v/>
      </c>
      <c r="C8" s="7">
        <f>16*$B$3</f>
        <v/>
      </c>
      <c r="D8" s="7" t="n">
        <v>120</v>
      </c>
      <c r="E8" s="8">
        <f>(B8/500)*$B$4</f>
        <v/>
      </c>
    </row>
    <row r="9" ht="20" customHeight="1">
      <c r="A9" s="6" t="inlineStr">
        <is>
          <t>Рівень 3</t>
        </is>
      </c>
      <c r="B9" s="9">
        <f>7800*$B$3</f>
        <v/>
      </c>
      <c r="C9" s="7">
        <f>32*$B$3</f>
        <v/>
      </c>
      <c r="D9" s="7" t="n">
        <v>310</v>
      </c>
      <c r="E9" s="8">
        <f>(B9/500)*$B$4</f>
        <v/>
      </c>
    </row>
    <row r="10" ht="20" customHeight="1">
      <c r="A10" s="6" t="inlineStr">
        <is>
          <t>Рівень 4</t>
        </is>
      </c>
      <c r="B10" s="9">
        <f>12500*$B$3</f>
        <v/>
      </c>
      <c r="C10" s="7">
        <f>64*$B$3</f>
        <v/>
      </c>
      <c r="D10" s="7" t="n">
        <v>580</v>
      </c>
      <c r="E10" s="8">
        <f>(B10/500)*$B$4</f>
        <v/>
      </c>
    </row>
    <row r="11" ht="20" customHeight="1">
      <c r="A11" s="6" t="inlineStr">
        <is>
          <t>Рівень 5</t>
        </is>
      </c>
      <c r="B11" s="9">
        <f>9100*$B$3</f>
        <v/>
      </c>
      <c r="C11" s="7">
        <f>48*$B$3</f>
        <v/>
      </c>
      <c r="D11" s="7" t="n">
        <v>400</v>
      </c>
      <c r="E11" s="8">
        <f>(B11/500)*$B$4</f>
        <v/>
      </c>
    </row>
    <row r="12" ht="20" customHeight="1">
      <c r="A12" s="6" t="inlineStr">
        <is>
          <t>Рівень 6</t>
        </is>
      </c>
      <c r="B12" s="7">
        <f>4300*$B$3</f>
        <v/>
      </c>
      <c r="C12" s="7">
        <f>24*$B$3</f>
        <v/>
      </c>
      <c r="D12" s="7" t="n">
        <v>190</v>
      </c>
      <c r="E12" s="8">
        <f>(B12/500)*$B$4</f>
        <v/>
      </c>
    </row>
    <row r="13">
      <c r="A13" s="10" t="inlineStr">
        <is>
          <t>ПІДСУМОК КЛАСУ</t>
        </is>
      </c>
      <c r="B13" s="11">
        <f>AVERAGE(B7:B12)</f>
        <v/>
      </c>
      <c r="C13" s="11">
        <f>MAX(C7:C12)</f>
        <v/>
      </c>
      <c r="D13" s="11">
        <f>MAX(D7:D12)</f>
        <v/>
      </c>
      <c r="E13" s="12">
        <f>SUM(E7:E12)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2026-06-02T13:10:02Z</dcterms:created>
  <dcterms:modified xmlns:dcterms="http://purl.org/dc/terms/" xmlns:xsi="http://www.w3.org/2001/XMLSchema-instance" xsi:type="dcterms:W3CDTF">2026-06-02T13:10:02Z</dcterms:modified>
</cp:coreProperties>
</file>